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4/"/>
    </mc:Choice>
  </mc:AlternateContent>
  <xr:revisionPtr revIDLastSave="0" documentId="8_{B9CD07C2-9297-6F47-8E00-8EDEC4E888B2}" xr6:coauthVersionLast="47" xr6:coauthVersionMax="47" xr10:uidLastSave="{00000000-0000-0000-0000-000000000000}"/>
  <bookViews>
    <workbookView xWindow="780" yWindow="1000" windowWidth="27640" windowHeight="15780" activeTab="1" xr2:uid="{0EC0FCFA-8F77-1445-9EE1-20E27A79383A}"/>
  </bookViews>
  <sheets>
    <sheet name="Liste employés" sheetId="1" r:id="rId1"/>
    <sheet name="Registre de pai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" i="2"/>
</calcChain>
</file>

<file path=xl/sharedStrings.xml><?xml version="1.0" encoding="utf-8"?>
<sst xmlns="http://schemas.openxmlformats.org/spreadsheetml/2006/main" count="34" uniqueCount="31">
  <si>
    <t>Numéro employé</t>
  </si>
  <si>
    <t>Michael Scott</t>
  </si>
  <si>
    <t>Dwight Schrute</t>
  </si>
  <si>
    <t>Jim Halpert</t>
  </si>
  <si>
    <t>Pam Beesly</t>
  </si>
  <si>
    <t>Ryan Howard</t>
  </si>
  <si>
    <t>Stanley Hudson</t>
  </si>
  <si>
    <t>Kevin Malone</t>
  </si>
  <si>
    <t>Meredith Palmer</t>
  </si>
  <si>
    <t>Angela Martin</t>
  </si>
  <si>
    <t>Oscar Martinez</t>
  </si>
  <si>
    <t>Phyllis Vance</t>
  </si>
  <si>
    <t>Roy Anderson</t>
  </si>
  <si>
    <t>Jan Levinson</t>
  </si>
  <si>
    <t>Toby Flenderson</t>
  </si>
  <si>
    <t>Kelly Kapoor</t>
  </si>
  <si>
    <t>Andy Bernard</t>
  </si>
  <si>
    <t>Creed Bratton</t>
  </si>
  <si>
    <t>Darryl Philbin</t>
  </si>
  <si>
    <t>Erin Hannon</t>
  </si>
  <si>
    <t>Gabe Lewis</t>
  </si>
  <si>
    <t>Holly Flax</t>
  </si>
  <si>
    <t>Robert California</t>
  </si>
  <si>
    <t>Nellie Bertram</t>
  </si>
  <si>
    <t>Clark Green</t>
  </si>
  <si>
    <t>Pete Miller</t>
  </si>
  <si>
    <t>Nom employé</t>
  </si>
  <si>
    <t>Salaire annuel</t>
  </si>
  <si>
    <t>Paie hebdomadaire</t>
  </si>
  <si>
    <t>Bonus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</si>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</sst>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/>
    <xf numFmtId="0" fontId="0" fillId="0" borderId="1" xfId="0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5931-01F1-374B-8626-0DB3F4EBD584}">
  <dimension ref="A1:C26"/>
  <sheetViews>
    <sheetView workbookViewId="0">
      <selection sqref="A1:A26"/>
    </sheetView>
  </sheetViews>
  <sheetFormatPr baseColWidth="10" defaultRowHeight="16" x14ac:dyDescent="0.2"/>
  <cols>
    <col min="1" max="1" width="15.33203125" bestFit="1" customWidth="1"/>
    <col min="2" max="2" width="15" bestFit="1" customWidth="1"/>
    <col min="3" max="3" width="12.83203125" bestFit="1" customWidth="1"/>
  </cols>
  <sheetData>
    <row r="1" spans="1:3" x14ac:dyDescent="0.2">
      <c r="A1" t="s">
        <v>0</v>
      </c>
      <c r="B1" t="s">
        <v>26</v>
      </c>
      <c r="C1" t="s">
        <v>27</v>
      </c>
    </row>
    <row r="2" spans="1:3" x14ac:dyDescent="0.2">
      <c r="A2" s="1">
        <v>75789</v>
      </c>
      <c r="B2" s="1" t="s">
        <v>1</v>
      </c>
      <c r="C2">
        <v>82843</v>
      </c>
    </row>
    <row r="3" spans="1:3" x14ac:dyDescent="0.2">
      <c r="A3">
        <v>86533</v>
      </c>
      <c r="B3" t="s">
        <v>2</v>
      </c>
      <c r="C3">
        <v>45236</v>
      </c>
    </row>
    <row r="4" spans="1:3" x14ac:dyDescent="0.2">
      <c r="A4" s="1">
        <v>27134</v>
      </c>
      <c r="B4" s="1" t="s">
        <v>3</v>
      </c>
      <c r="C4">
        <v>67355</v>
      </c>
    </row>
    <row r="5" spans="1:3" x14ac:dyDescent="0.2">
      <c r="A5">
        <v>19668</v>
      </c>
      <c r="B5" t="s">
        <v>4</v>
      </c>
      <c r="C5">
        <v>73190</v>
      </c>
    </row>
    <row r="6" spans="1:3" x14ac:dyDescent="0.2">
      <c r="A6" s="1">
        <v>85807</v>
      </c>
      <c r="B6" s="1" t="s">
        <v>5</v>
      </c>
      <c r="C6">
        <v>57351</v>
      </c>
    </row>
    <row r="7" spans="1:3" x14ac:dyDescent="0.2">
      <c r="A7">
        <v>52950</v>
      </c>
      <c r="B7" t="s">
        <v>6</v>
      </c>
      <c r="C7">
        <v>109171</v>
      </c>
    </row>
    <row r="8" spans="1:3" x14ac:dyDescent="0.2">
      <c r="A8" s="1">
        <v>59988</v>
      </c>
      <c r="B8" s="1" t="s">
        <v>7</v>
      </c>
      <c r="C8">
        <v>68068</v>
      </c>
    </row>
    <row r="9" spans="1:3" x14ac:dyDescent="0.2">
      <c r="A9">
        <v>33300</v>
      </c>
      <c r="B9" t="s">
        <v>8</v>
      </c>
      <c r="C9">
        <v>100414</v>
      </c>
    </row>
    <row r="10" spans="1:3" x14ac:dyDescent="0.2">
      <c r="A10" s="1">
        <v>60875</v>
      </c>
      <c r="B10" s="1" t="s">
        <v>9</v>
      </c>
      <c r="C10">
        <v>98723</v>
      </c>
    </row>
    <row r="11" spans="1:3" x14ac:dyDescent="0.2">
      <c r="A11">
        <v>79020</v>
      </c>
      <c r="B11" t="s">
        <v>10</v>
      </c>
      <c r="C11">
        <v>85704</v>
      </c>
    </row>
    <row r="12" spans="1:3" x14ac:dyDescent="0.2">
      <c r="A12" s="1">
        <v>15444</v>
      </c>
      <c r="B12" s="1" t="s">
        <v>11</v>
      </c>
      <c r="C12">
        <v>88578</v>
      </c>
    </row>
    <row r="13" spans="1:3" x14ac:dyDescent="0.2">
      <c r="A13">
        <v>69985</v>
      </c>
      <c r="B13" t="s">
        <v>12</v>
      </c>
      <c r="C13">
        <v>68428</v>
      </c>
    </row>
    <row r="14" spans="1:3" x14ac:dyDescent="0.2">
      <c r="A14" s="1">
        <v>29237</v>
      </c>
      <c r="B14" s="1" t="s">
        <v>13</v>
      </c>
      <c r="C14">
        <v>103611</v>
      </c>
    </row>
    <row r="15" spans="1:3" x14ac:dyDescent="0.2">
      <c r="A15">
        <v>68953</v>
      </c>
      <c r="B15" t="s">
        <v>14</v>
      </c>
      <c r="C15">
        <v>102735</v>
      </c>
    </row>
    <row r="16" spans="1:3" x14ac:dyDescent="0.2">
      <c r="A16" s="1">
        <v>40207</v>
      </c>
      <c r="B16" s="1" t="s">
        <v>15</v>
      </c>
      <c r="C16">
        <v>51239</v>
      </c>
    </row>
    <row r="17" spans="1:3" x14ac:dyDescent="0.2">
      <c r="A17">
        <v>24381</v>
      </c>
      <c r="B17" t="s">
        <v>16</v>
      </c>
      <c r="C17">
        <v>72246</v>
      </c>
    </row>
    <row r="18" spans="1:3" x14ac:dyDescent="0.2">
      <c r="A18" s="1">
        <v>63474</v>
      </c>
      <c r="B18" s="1" t="s">
        <v>17</v>
      </c>
      <c r="C18">
        <v>86067</v>
      </c>
    </row>
    <row r="19" spans="1:3" x14ac:dyDescent="0.2">
      <c r="A19">
        <v>32021</v>
      </c>
      <c r="B19" t="s">
        <v>18</v>
      </c>
      <c r="C19">
        <v>73085</v>
      </c>
    </row>
    <row r="20" spans="1:3" x14ac:dyDescent="0.2">
      <c r="A20" s="1">
        <v>29512</v>
      </c>
      <c r="B20" s="1" t="s">
        <v>19</v>
      </c>
      <c r="C20">
        <v>50105</v>
      </c>
    </row>
    <row r="21" spans="1:3" x14ac:dyDescent="0.2">
      <c r="A21">
        <v>42233</v>
      </c>
      <c r="B21" t="s">
        <v>20</v>
      </c>
      <c r="C21">
        <v>102284</v>
      </c>
    </row>
    <row r="22" spans="1:3" x14ac:dyDescent="0.2">
      <c r="A22" s="1">
        <v>24282</v>
      </c>
      <c r="B22" s="1" t="s">
        <v>21</v>
      </c>
      <c r="C22">
        <v>71803</v>
      </c>
    </row>
    <row r="23" spans="1:3" x14ac:dyDescent="0.2">
      <c r="A23">
        <v>34290</v>
      </c>
      <c r="B23" t="s">
        <v>22</v>
      </c>
      <c r="C23">
        <v>61630</v>
      </c>
    </row>
    <row r="24" spans="1:3" x14ac:dyDescent="0.2">
      <c r="A24" s="1">
        <v>39423</v>
      </c>
      <c r="B24" s="1" t="s">
        <v>23</v>
      </c>
      <c r="C24">
        <v>91230</v>
      </c>
    </row>
    <row r="25" spans="1:3" x14ac:dyDescent="0.2">
      <c r="A25">
        <v>24718</v>
      </c>
      <c r="B25" t="s">
        <v>24</v>
      </c>
      <c r="C25">
        <v>80887</v>
      </c>
    </row>
    <row r="26" spans="1:3" ht="17" thickBot="1" x14ac:dyDescent="0.25">
      <c r="A26" s="2">
        <v>60514</v>
      </c>
      <c r="B26" s="2" t="s">
        <v>25</v>
      </c>
      <c r="C26">
        <v>80198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66CD-2231-B244-BD0A-1C71CDF52D17}">
  <dimension ref="A1:M26"/>
  <sheetViews>
    <sheetView tabSelected="1" workbookViewId="0">
      <selection activeCell="B3" sqref="B3"/>
    </sheetView>
  </sheetViews>
  <sheetFormatPr baseColWidth="10" defaultRowHeight="16" x14ac:dyDescent="0.2"/>
  <cols>
    <col min="1" max="1" width="15.33203125" bestFit="1" customWidth="1"/>
    <col min="2" max="2" width="20.5" customWidth="1"/>
    <col min="3" max="3" width="17.1640625" bestFit="1" customWidth="1"/>
    <col min="4" max="4" width="12.1640625" bestFit="1" customWidth="1"/>
  </cols>
  <sheetData>
    <row r="1" spans="1:13" x14ac:dyDescent="0.2">
      <c r="A1" t="s">
        <v>0</v>
      </c>
      <c r="B1" t="s">
        <v>26</v>
      </c>
      <c r="C1" t="s">
        <v>28</v>
      </c>
      <c r="D1" t="s">
        <v>29</v>
      </c>
      <c r="E1" t="s">
        <v>30</v>
      </c>
      <c r="L1" t="s">
        <v>29</v>
      </c>
      <c r="M1" s="5">
        <v>0.1</v>
      </c>
    </row>
    <row r="2" spans="1:13" x14ac:dyDescent="0.2">
      <c r="A2" s="1">
        <v>75789</v>
      </c>
      <c r="B2" t="str">
        <f>VLOOKUP(A2,'Liste employés'!A2:B26,2)</f>
        <v>Pete Miller</v>
      </c>
      <c r="C2">
        <f>VLOOKUP(A2,'Liste employés'!A2:BC26,3) /52</f>
        <v>1542.2692307692307</v>
      </c>
      <c r="D2">
        <f>C2*M1</f>
        <v>154.22692307692307</v>
      </c>
      <c r="E2">
        <f>C2+D2</f>
        <v>1696.4961538461539</v>
      </c>
    </row>
    <row r="3" spans="1:13" x14ac:dyDescent="0.2">
      <c r="A3" s="1">
        <v>15444</v>
      </c>
      <c r="B3" t="e">
        <f>VLOOKUP(A3,'Liste employés'!A3:B27,2)</f>
        <v>#N/A</v>
      </c>
      <c r="C3" t="e">
        <f>VLOOKUP(A3,'Liste employés'!A3:BC27,3) /52</f>
        <v>#N/A</v>
      </c>
      <c r="D3" t="e">
        <f t="shared" ref="D3:D26" si="0">C3*M2</f>
        <v>#N/A</v>
      </c>
      <c r="E3" t="e">
        <f t="shared" ref="E3:E26" si="1">C3+D3</f>
        <v>#N/A</v>
      </c>
    </row>
    <row r="4" spans="1:13" x14ac:dyDescent="0.2">
      <c r="A4">
        <v>19668</v>
      </c>
      <c r="B4" t="e">
        <f>VLOOKUP(A4,'Liste employés'!A4:B28,2)</f>
        <v>#N/A</v>
      </c>
      <c r="C4" t="e">
        <f>VLOOKUP(A4,'Liste employés'!A4:BC28,3) /52</f>
        <v>#N/A</v>
      </c>
      <c r="D4" t="e">
        <f t="shared" si="0"/>
        <v>#N/A</v>
      </c>
      <c r="E4" t="e">
        <f t="shared" si="1"/>
        <v>#N/A</v>
      </c>
    </row>
    <row r="5" spans="1:13" x14ac:dyDescent="0.2">
      <c r="A5" s="1">
        <v>24282</v>
      </c>
      <c r="B5" t="str">
        <f>VLOOKUP(A5,'Liste employés'!A5:B29,2)</f>
        <v>Pam Beesly</v>
      </c>
      <c r="C5">
        <f>VLOOKUP(A5,'Liste employés'!A5:BC29,3) /52</f>
        <v>1407.5</v>
      </c>
      <c r="D5">
        <f t="shared" si="0"/>
        <v>0</v>
      </c>
      <c r="E5">
        <f t="shared" si="1"/>
        <v>1407.5</v>
      </c>
    </row>
    <row r="6" spans="1:13" x14ac:dyDescent="0.2">
      <c r="A6">
        <v>24381</v>
      </c>
      <c r="B6" t="e">
        <f>VLOOKUP(A6,'Liste employés'!A6:B30,2)</f>
        <v>#N/A</v>
      </c>
      <c r="C6" t="e">
        <f>VLOOKUP(A6,'Liste employés'!A6:BC30,3) /52</f>
        <v>#N/A</v>
      </c>
      <c r="D6" t="e">
        <f t="shared" si="0"/>
        <v>#N/A</v>
      </c>
      <c r="E6" t="e">
        <f t="shared" si="1"/>
        <v>#N/A</v>
      </c>
    </row>
    <row r="7" spans="1:13" x14ac:dyDescent="0.2">
      <c r="A7">
        <v>24718</v>
      </c>
      <c r="B7" t="str">
        <f>VLOOKUP(A7,'Liste employés'!A7:B31,2)</f>
        <v>Phyllis Vance</v>
      </c>
      <c r="C7">
        <f>VLOOKUP(A7,'Liste employés'!A7:BC31,3) /52</f>
        <v>1703.4230769230769</v>
      </c>
      <c r="D7">
        <f t="shared" si="0"/>
        <v>0</v>
      </c>
      <c r="E7">
        <f t="shared" si="1"/>
        <v>1703.4230769230769</v>
      </c>
    </row>
    <row r="8" spans="1:13" x14ac:dyDescent="0.2">
      <c r="A8" s="1">
        <v>27134</v>
      </c>
      <c r="B8" t="e">
        <f>VLOOKUP(A8,'Liste employés'!A8:B32,2)</f>
        <v>#N/A</v>
      </c>
      <c r="C8" t="e">
        <f>VLOOKUP(A8,'Liste employés'!A8:BC32,3) /52</f>
        <v>#N/A</v>
      </c>
      <c r="D8" t="e">
        <f t="shared" si="0"/>
        <v>#N/A</v>
      </c>
      <c r="E8" t="e">
        <f t="shared" si="1"/>
        <v>#N/A</v>
      </c>
    </row>
    <row r="9" spans="1:13" x14ac:dyDescent="0.2">
      <c r="A9" s="1">
        <v>29237</v>
      </c>
      <c r="B9" t="str">
        <f>VLOOKUP(A9,'Liste employés'!A9:B33,2)</f>
        <v>Jan Levinson</v>
      </c>
      <c r="C9">
        <f>VLOOKUP(A9,'Liste employés'!A9:BC33,3) /52</f>
        <v>1992.5192307692307</v>
      </c>
      <c r="D9">
        <f t="shared" si="0"/>
        <v>0</v>
      </c>
      <c r="E9">
        <f t="shared" si="1"/>
        <v>1992.5192307692307</v>
      </c>
    </row>
    <row r="10" spans="1:13" x14ac:dyDescent="0.2">
      <c r="A10" s="1">
        <v>29512</v>
      </c>
      <c r="B10" t="str">
        <f>VLOOKUP(A10,'Liste employés'!A10:B34,2)</f>
        <v>Clark Green</v>
      </c>
      <c r="C10">
        <f>VLOOKUP(A10,'Liste employés'!A10:BC34,3) /52</f>
        <v>1555.5192307692307</v>
      </c>
      <c r="D10">
        <f t="shared" si="0"/>
        <v>0</v>
      </c>
      <c r="E10">
        <f t="shared" si="1"/>
        <v>1555.5192307692307</v>
      </c>
    </row>
    <row r="11" spans="1:13" x14ac:dyDescent="0.2">
      <c r="A11">
        <v>32021</v>
      </c>
      <c r="B11" t="e">
        <f>VLOOKUP(A11,'Liste employés'!A11:B35,2)</f>
        <v>#N/A</v>
      </c>
      <c r="C11" t="e">
        <f>VLOOKUP(A11,'Liste employés'!A11:BC35,3) /52</f>
        <v>#N/A</v>
      </c>
      <c r="D11" t="e">
        <f t="shared" si="0"/>
        <v>#N/A</v>
      </c>
      <c r="E11" t="e">
        <f t="shared" si="1"/>
        <v>#N/A</v>
      </c>
    </row>
    <row r="12" spans="1:13" x14ac:dyDescent="0.2">
      <c r="A12">
        <v>33300</v>
      </c>
      <c r="B12" t="str">
        <f>VLOOKUP(A12,'Liste employés'!A12:B36,2)</f>
        <v>Holly Flax</v>
      </c>
      <c r="C12">
        <f>VLOOKUP(A12,'Liste employés'!A12:BC36,3) /52</f>
        <v>1380.8269230769231</v>
      </c>
      <c r="D12">
        <f t="shared" si="0"/>
        <v>0</v>
      </c>
      <c r="E12">
        <f t="shared" si="1"/>
        <v>1380.8269230769231</v>
      </c>
    </row>
    <row r="13" spans="1:13" x14ac:dyDescent="0.2">
      <c r="A13">
        <v>34290</v>
      </c>
      <c r="B13" t="str">
        <f>VLOOKUP(A13,'Liste employés'!A13:B37,2)</f>
        <v>Clark Green</v>
      </c>
      <c r="C13">
        <f>VLOOKUP(A13,'Liste employés'!A13:BC37,3) /52</f>
        <v>1555.5192307692307</v>
      </c>
      <c r="D13">
        <f t="shared" si="0"/>
        <v>0</v>
      </c>
      <c r="E13">
        <f t="shared" si="1"/>
        <v>1555.5192307692307</v>
      </c>
    </row>
    <row r="14" spans="1:13" x14ac:dyDescent="0.2">
      <c r="A14" s="1">
        <v>39423</v>
      </c>
      <c r="B14" t="str">
        <f>VLOOKUP(A14,'Liste employés'!A14:B38,2)</f>
        <v>Nellie Bertram</v>
      </c>
      <c r="C14">
        <f>VLOOKUP(A14,'Liste employés'!A14:BC38,3) /52</f>
        <v>1754.4230769230769</v>
      </c>
      <c r="D14">
        <f t="shared" si="0"/>
        <v>0</v>
      </c>
      <c r="E14">
        <f t="shared" si="1"/>
        <v>1754.4230769230769</v>
      </c>
    </row>
    <row r="15" spans="1:13" x14ac:dyDescent="0.2">
      <c r="A15" s="1">
        <v>40207</v>
      </c>
      <c r="B15" t="str">
        <f>VLOOKUP(A15,'Liste employés'!A15:B39,2)</f>
        <v>Clark Green</v>
      </c>
      <c r="C15">
        <f>VLOOKUP(A15,'Liste employés'!A15:BC39,3) /52</f>
        <v>1555.5192307692307</v>
      </c>
      <c r="D15">
        <f t="shared" si="0"/>
        <v>0</v>
      </c>
      <c r="E15">
        <f t="shared" si="1"/>
        <v>1555.5192307692307</v>
      </c>
    </row>
    <row r="16" spans="1:13" x14ac:dyDescent="0.2">
      <c r="A16">
        <v>42233</v>
      </c>
      <c r="B16" t="str">
        <f>VLOOKUP(A16,'Liste employés'!A16:B40,2)</f>
        <v>Gabe Lewis</v>
      </c>
      <c r="C16">
        <f>VLOOKUP(A16,'Liste employés'!A16:BC40,3) /52</f>
        <v>1967</v>
      </c>
      <c r="D16">
        <f t="shared" si="0"/>
        <v>0</v>
      </c>
      <c r="E16">
        <f t="shared" si="1"/>
        <v>1967</v>
      </c>
    </row>
    <row r="17" spans="1:5" x14ac:dyDescent="0.2">
      <c r="A17">
        <v>52950</v>
      </c>
      <c r="B17" t="str">
        <f>VLOOKUP(A17,'Liste employés'!A17:B41,2)</f>
        <v>Clark Green</v>
      </c>
      <c r="C17">
        <f>VLOOKUP(A17,'Liste employés'!A17:BC41,3) /52</f>
        <v>1555.5192307692307</v>
      </c>
      <c r="D17">
        <f t="shared" si="0"/>
        <v>0</v>
      </c>
      <c r="E17">
        <f t="shared" si="1"/>
        <v>1555.5192307692307</v>
      </c>
    </row>
    <row r="18" spans="1:5" x14ac:dyDescent="0.2">
      <c r="A18" s="1">
        <v>59988</v>
      </c>
      <c r="B18" t="str">
        <f>VLOOKUP(A18,'Liste employés'!A18:B42,2)</f>
        <v>Clark Green</v>
      </c>
      <c r="C18">
        <f>VLOOKUP(A18,'Liste employés'!A18:BC42,3) /52</f>
        <v>1555.5192307692307</v>
      </c>
      <c r="D18">
        <f t="shared" si="0"/>
        <v>0</v>
      </c>
      <c r="E18">
        <f t="shared" si="1"/>
        <v>1555.5192307692307</v>
      </c>
    </row>
    <row r="19" spans="1:5" x14ac:dyDescent="0.2">
      <c r="A19" s="3">
        <v>60514</v>
      </c>
      <c r="B19" t="str">
        <f>VLOOKUP(A19,'Liste employés'!A19:B43,2)</f>
        <v>Pete Miller</v>
      </c>
      <c r="C19">
        <f>VLOOKUP(A19,'Liste employés'!A19:BC43,3) /52</f>
        <v>1542.2692307692307</v>
      </c>
      <c r="D19">
        <f t="shared" si="0"/>
        <v>0</v>
      </c>
      <c r="E19">
        <f t="shared" si="1"/>
        <v>1542.2692307692307</v>
      </c>
    </row>
    <row r="20" spans="1:5" x14ac:dyDescent="0.2">
      <c r="A20" s="1">
        <v>60875</v>
      </c>
      <c r="B20" t="str">
        <f>VLOOKUP(A20,'Liste employés'!A20:B44,2)</f>
        <v>Pete Miller</v>
      </c>
      <c r="C20">
        <f>VLOOKUP(A20,'Liste employés'!A20:BC44,3) /52</f>
        <v>1542.2692307692307</v>
      </c>
      <c r="D20">
        <f t="shared" si="0"/>
        <v>0</v>
      </c>
      <c r="E20">
        <f t="shared" si="1"/>
        <v>1542.2692307692307</v>
      </c>
    </row>
    <row r="21" spans="1:5" x14ac:dyDescent="0.2">
      <c r="A21" s="1">
        <v>63474</v>
      </c>
      <c r="B21" t="str">
        <f>VLOOKUP(A21,'Liste employés'!A21:B45,2)</f>
        <v>Pete Miller</v>
      </c>
      <c r="C21">
        <f>VLOOKUP(A21,'Liste employés'!A21:BC45,3) /52</f>
        <v>1542.2692307692307</v>
      </c>
      <c r="D21">
        <f t="shared" si="0"/>
        <v>0</v>
      </c>
      <c r="E21">
        <f t="shared" si="1"/>
        <v>1542.2692307692307</v>
      </c>
    </row>
    <row r="22" spans="1:5" x14ac:dyDescent="0.2">
      <c r="A22">
        <v>68953</v>
      </c>
      <c r="B22" t="str">
        <f>VLOOKUP(A22,'Liste employés'!A22:B46,2)</f>
        <v>Pete Miller</v>
      </c>
      <c r="C22">
        <f>VLOOKUP(A22,'Liste employés'!A22:BC46,3) /52</f>
        <v>1542.2692307692307</v>
      </c>
      <c r="D22">
        <f t="shared" si="0"/>
        <v>0</v>
      </c>
      <c r="E22">
        <f t="shared" si="1"/>
        <v>1542.2692307692307</v>
      </c>
    </row>
    <row r="23" spans="1:5" x14ac:dyDescent="0.2">
      <c r="A23">
        <v>69985</v>
      </c>
      <c r="B23" t="str">
        <f>VLOOKUP(A23,'Liste employés'!A23:B47,2)</f>
        <v>Pete Miller</v>
      </c>
      <c r="C23">
        <f>VLOOKUP(A23,'Liste employés'!A23:BC47,3) /52</f>
        <v>1542.2692307692307</v>
      </c>
      <c r="D23">
        <f t="shared" si="0"/>
        <v>0</v>
      </c>
      <c r="E23">
        <f t="shared" si="1"/>
        <v>1542.2692307692307</v>
      </c>
    </row>
    <row r="24" spans="1:5" x14ac:dyDescent="0.2">
      <c r="A24">
        <v>79020</v>
      </c>
      <c r="B24" t="str">
        <f>VLOOKUP(A24,'Liste employés'!A24:B48,2)</f>
        <v>Pete Miller</v>
      </c>
      <c r="C24">
        <f>VLOOKUP(A24,'Liste employés'!A24:BC48,3) /52</f>
        <v>1542.2692307692307</v>
      </c>
      <c r="D24">
        <f t="shared" si="0"/>
        <v>0</v>
      </c>
      <c r="E24">
        <f t="shared" si="1"/>
        <v>1542.2692307692307</v>
      </c>
    </row>
    <row r="25" spans="1:5" x14ac:dyDescent="0.2">
      <c r="A25" s="1">
        <v>85807</v>
      </c>
      <c r="B25" t="str">
        <f>VLOOKUP(A25,'Liste employés'!A25:B49,2)</f>
        <v>Pete Miller</v>
      </c>
      <c r="C25">
        <f>VLOOKUP(A25,'Liste employés'!A25:BC49,3) /52</f>
        <v>1542.2692307692307</v>
      </c>
      <c r="D25">
        <f t="shared" si="0"/>
        <v>0</v>
      </c>
      <c r="E25">
        <f t="shared" si="1"/>
        <v>1542.2692307692307</v>
      </c>
    </row>
    <row r="26" spans="1:5" ht="17" thickBot="1" x14ac:dyDescent="0.25">
      <c r="A26" s="4">
        <v>86533</v>
      </c>
      <c r="B26" t="str">
        <f>VLOOKUP(A26,'Liste employés'!A26:B50,2)</f>
        <v>Pete Miller</v>
      </c>
      <c r="C26">
        <f>VLOOKUP(A26,'Liste employés'!A26:BC50,3) /52</f>
        <v>1542.2692307692307</v>
      </c>
      <c r="D26">
        <f t="shared" si="0"/>
        <v>0</v>
      </c>
      <c r="E26">
        <f t="shared" si="1"/>
        <v>1542.2692307692307</v>
      </c>
    </row>
  </sheetData>
  <sortState xmlns:xlrd2="http://schemas.microsoft.com/office/spreadsheetml/2017/richdata2" ref="A3:A26">
    <sortCondition ref="A2:A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employés</vt:lpstr>
      <vt:lpstr>Registre de paie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2022-02-24T13:32:05Z</dcterms:created>
  <dcterms:modified xsi:type="dcterms:W3CDTF">2022-02-24T13:41:50Z</dcterms:modified>
</cp:coreProperties>
</file>