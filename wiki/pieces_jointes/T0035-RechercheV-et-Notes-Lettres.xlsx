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4/"/>
    </mc:Choice>
  </mc:AlternateContent>
  <xr:revisionPtr revIDLastSave="0" documentId="8_{245E9C2D-CA55-9F4A-81F3-38EBFF3BF856}" xr6:coauthVersionLast="47" xr6:coauthVersionMax="47" xr10:uidLastSave="{00000000-0000-0000-0000-000000000000}"/>
  <bookViews>
    <workbookView xWindow="1580" yWindow="2000" windowWidth="26840" windowHeight="14780" activeTab="1" xr2:uid="{B4E3E7BE-C569-1C4A-ADEC-7B00DE588275}"/>
  </bookViews>
  <sheets>
    <sheet name="Charte de notes" sheetId="1" r:id="rId1"/>
    <sheet name="Notes des élèv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</calcChain>
</file>

<file path=xl/sharedStrings.xml><?xml version="1.0" encoding="utf-8"?>
<sst xmlns="http://schemas.openxmlformats.org/spreadsheetml/2006/main" count="41" uniqueCount="40">
  <si>
    <t>Min</t>
  </si>
  <si>
    <t>Max</t>
  </si>
  <si>
    <t>Lettre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</si>
  <si>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</si>
  <si>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</si>
  <si>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</si>
  <si>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</si>
  <si>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</si>
  <si>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</si>
  <si>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</si>
  <si>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</si>
  <si>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</si>
  <si>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E</t>
  </si>
  <si>
    <t>Étudiant</t>
  </si>
  <si>
    <t>Note numérique</t>
  </si>
  <si>
    <t>Michael Scott</t>
  </si>
  <si>
    <t>Dwight Schrute</t>
  </si>
  <si>
    <t>Jim Halpert</t>
  </si>
  <si>
    <t>Pam Beesly</t>
  </si>
  <si>
    <t>Ryan Howard</t>
  </si>
  <si>
    <t>Stanley Hudson</t>
  </si>
  <si>
    <t>Kevin Malone</t>
  </si>
  <si>
    <t>Meredith Palmer</t>
  </si>
  <si>
    <t>Angela Martin</t>
  </si>
  <si>
    <t>Oscar Martinez</t>
  </si>
  <si>
    <t>Phyllis Vance</t>
  </si>
  <si>
    <t>Roy Anderson</t>
  </si>
  <si>
    <t>Jan Levinson</t>
  </si>
  <si>
    <t>Toby Flenderson</t>
  </si>
  <si>
    <t>Kelly Kapoor</t>
  </si>
  <si>
    <t>Andy Bernard</t>
  </si>
  <si>
    <t>Creed Bratton</t>
  </si>
  <si>
    <t>Darryl Philbin</t>
  </si>
  <si>
    <t>Erin Hannon</t>
  </si>
  <si>
    <t>Gabe Lewis</t>
  </si>
  <si>
    <t>Holly Flax</t>
  </si>
  <si>
    <t>Robert California</t>
  </si>
  <si>
    <t>Nellie Bertram</t>
  </si>
  <si>
    <t>Clark Green</t>
  </si>
  <si>
    <t>Pete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</si>
</sst>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BEB8-A6A3-FF4D-96BA-B2DD934AE9F5}">
  <dimension ref="A1:C11"/>
  <sheetViews>
    <sheetView workbookViewId="0">
      <selection activeCell="I5" sqref="I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96</v>
      </c>
      <c r="B2">
        <v>100</v>
      </c>
      <c r="C2" t="s">
        <v>3</v>
      </c>
    </row>
    <row r="3" spans="1:3" x14ac:dyDescent="0.2">
      <c r="A3">
        <v>91</v>
      </c>
      <c r="B3">
        <v>95</v>
      </c>
      <c r="C3" t="s">
        <v>4</v>
      </c>
    </row>
    <row r="4" spans="1:3" x14ac:dyDescent="0.2">
      <c r="A4">
        <v>86</v>
      </c>
      <c r="B4">
        <v>90</v>
      </c>
      <c r="C4" t="s">
        <v>5</v>
      </c>
    </row>
    <row r="5" spans="1:3" x14ac:dyDescent="0.2">
      <c r="A5">
        <v>81</v>
      </c>
      <c r="B5">
        <v>85</v>
      </c>
      <c r="C5" t="s">
        <v>6</v>
      </c>
    </row>
    <row r="6" spans="1:3" x14ac:dyDescent="0.2">
      <c r="A6">
        <v>76</v>
      </c>
      <c r="B6">
        <v>80</v>
      </c>
      <c r="C6" t="s">
        <v>7</v>
      </c>
    </row>
    <row r="7" spans="1:3" x14ac:dyDescent="0.2">
      <c r="A7">
        <v>71</v>
      </c>
      <c r="B7">
        <v>75</v>
      </c>
      <c r="C7" t="s">
        <v>8</v>
      </c>
    </row>
    <row r="8" spans="1:3" x14ac:dyDescent="0.2">
      <c r="A8">
        <v>66</v>
      </c>
      <c r="B8">
        <v>70</v>
      </c>
      <c r="C8" t="s">
        <v>9</v>
      </c>
    </row>
    <row r="9" spans="1:3" x14ac:dyDescent="0.2">
      <c r="A9">
        <v>61</v>
      </c>
      <c r="B9">
        <v>65</v>
      </c>
      <c r="C9" t="s">
        <v>10</v>
      </c>
    </row>
    <row r="10" spans="1:3" x14ac:dyDescent="0.2">
      <c r="A10">
        <v>56</v>
      </c>
      <c r="B10">
        <v>60</v>
      </c>
      <c r="C10" t="s">
        <v>11</v>
      </c>
    </row>
    <row r="11" spans="1:3" x14ac:dyDescent="0.2">
      <c r="A11">
        <v>0</v>
      </c>
      <c r="B11">
        <v>55</v>
      </c>
      <c r="C11" t="s">
        <v>12</v>
      </c>
    </row>
  </sheetData>
  <sortState xmlns:xlrd2="http://schemas.microsoft.com/office/spreadsheetml/2017/richdata2" ref="A2:C11">
    <sortCondition descending="1" ref="B2:B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FAB8-F31B-654B-99A3-94E28ACA249B}">
  <dimension ref="A1:C26"/>
  <sheetViews>
    <sheetView tabSelected="1" workbookViewId="0">
      <selection activeCell="C7" sqref="C7"/>
    </sheetView>
  </sheetViews>
  <sheetFormatPr baseColWidth="10" defaultRowHeight="16" x14ac:dyDescent="0.2"/>
  <cols>
    <col min="1" max="1" width="15" bestFit="1" customWidth="1"/>
    <col min="2" max="2" width="14.5" bestFit="1" customWidth="1"/>
    <col min="3" max="3" width="17.6640625" customWidth="1"/>
  </cols>
  <sheetData>
    <row r="1" spans="1:3" x14ac:dyDescent="0.2">
      <c r="A1" t="s">
        <v>13</v>
      </c>
      <c r="B1" t="s">
        <v>14</v>
      </c>
      <c r="C1" t="s">
        <v>2</v>
      </c>
    </row>
    <row r="2" spans="1:3" x14ac:dyDescent="0.2">
      <c r="A2" s="1" t="s">
        <v>15</v>
      </c>
      <c r="B2">
        <v>56</v>
      </c>
      <c r="C2" t="str">
        <f>VLOOKUP(B2,'Charte de notes'!A2:C11,3,FALSE)</f>
        <v>C-</v>
      </c>
    </row>
    <row r="3" spans="1:3" x14ac:dyDescent="0.2">
      <c r="A3" t="s">
        <v>16</v>
      </c>
      <c r="B3">
        <v>40</v>
      </c>
      <c r="C3" t="e">
        <f>VLOOKUP(B3,'Charte de notes'!A3:C12,3,FALSE)</f>
        <v>#N/A</v>
      </c>
    </row>
    <row r="4" spans="1:3" x14ac:dyDescent="0.2">
      <c r="A4" s="1" t="s">
        <v>17</v>
      </c>
      <c r="B4">
        <v>80</v>
      </c>
      <c r="C4" t="e">
        <f>VLOOKUP(B4,'Charte de notes'!A4:C13,3,FALSE)</f>
        <v>#N/A</v>
      </c>
    </row>
    <row r="5" spans="1:3" x14ac:dyDescent="0.2">
      <c r="A5" t="s">
        <v>18</v>
      </c>
      <c r="B5">
        <v>67</v>
      </c>
      <c r="C5" t="e">
        <f>VLOOKUP(B5,'Charte de notes'!A5:C14,3,FALSE)</f>
        <v>#N/A</v>
      </c>
    </row>
    <row r="6" spans="1:3" x14ac:dyDescent="0.2">
      <c r="A6" s="1" t="s">
        <v>19</v>
      </c>
      <c r="B6">
        <v>67</v>
      </c>
      <c r="C6" t="e">
        <f>VLOOKUP(B6,'Charte de notes'!A6:C15,3,FALSE)</f>
        <v>#N/A</v>
      </c>
    </row>
    <row r="7" spans="1:3" x14ac:dyDescent="0.2">
      <c r="A7" t="s">
        <v>20</v>
      </c>
      <c r="B7">
        <v>53</v>
      </c>
      <c r="C7" t="e">
        <f>VLOOKUP(B7,'Charte de notes'!A7:C16,3,FALSE)</f>
        <v>#N/A</v>
      </c>
    </row>
    <row r="8" spans="1:3" x14ac:dyDescent="0.2">
      <c r="A8" s="1" t="s">
        <v>21</v>
      </c>
      <c r="B8">
        <v>59</v>
      </c>
      <c r="C8" t="e">
        <f>VLOOKUP(B8,'Charte de notes'!A8:C17,3,FALSE)</f>
        <v>#N/A</v>
      </c>
    </row>
    <row r="9" spans="1:3" x14ac:dyDescent="0.2">
      <c r="A9" t="s">
        <v>22</v>
      </c>
      <c r="B9">
        <v>55</v>
      </c>
      <c r="C9" t="e">
        <f>VLOOKUP(B9,'Charte de notes'!A9:C18,3,FALSE)</f>
        <v>#N/A</v>
      </c>
    </row>
    <row r="10" spans="1:3" x14ac:dyDescent="0.2">
      <c r="A10" s="1" t="s">
        <v>23</v>
      </c>
      <c r="B10">
        <v>62</v>
      </c>
      <c r="C10" t="e">
        <f>VLOOKUP(B10,'Charte de notes'!A10:C19,3,FALSE)</f>
        <v>#N/A</v>
      </c>
    </row>
    <row r="11" spans="1:3" x14ac:dyDescent="0.2">
      <c r="A11" t="s">
        <v>24</v>
      </c>
      <c r="B11">
        <v>88</v>
      </c>
      <c r="C11" t="e">
        <f>VLOOKUP(B11,'Charte de notes'!A11:C20,3,FALSE)</f>
        <v>#N/A</v>
      </c>
    </row>
    <row r="12" spans="1:3" x14ac:dyDescent="0.2">
      <c r="A12" s="1" t="s">
        <v>25</v>
      </c>
      <c r="B12">
        <v>37</v>
      </c>
      <c r="C12" t="e">
        <f>VLOOKUP(B12,'Charte de notes'!A12:C21,3,FALSE)</f>
        <v>#N/A</v>
      </c>
    </row>
    <row r="13" spans="1:3" x14ac:dyDescent="0.2">
      <c r="A13" t="s">
        <v>26</v>
      </c>
      <c r="B13">
        <v>67</v>
      </c>
      <c r="C13" t="e">
        <f>VLOOKUP(B13,'Charte de notes'!A13:C22,3,FALSE)</f>
        <v>#N/A</v>
      </c>
    </row>
    <row r="14" spans="1:3" x14ac:dyDescent="0.2">
      <c r="A14" s="1" t="s">
        <v>27</v>
      </c>
      <c r="B14">
        <v>65</v>
      </c>
      <c r="C14" t="e">
        <f>VLOOKUP(B14,'Charte de notes'!A14:C23,3,FALSE)</f>
        <v>#N/A</v>
      </c>
    </row>
    <row r="15" spans="1:3" x14ac:dyDescent="0.2">
      <c r="A15" t="s">
        <v>28</v>
      </c>
      <c r="B15">
        <v>59</v>
      </c>
      <c r="C15" t="e">
        <f>VLOOKUP(B15,'Charte de notes'!A15:C24,3,FALSE)</f>
        <v>#N/A</v>
      </c>
    </row>
    <row r="16" spans="1:3" x14ac:dyDescent="0.2">
      <c r="A16" s="1" t="s">
        <v>29</v>
      </c>
      <c r="B16">
        <v>65</v>
      </c>
      <c r="C16" t="e">
        <f>VLOOKUP(B16,'Charte de notes'!A16:C25,3,FALSE)</f>
        <v>#N/A</v>
      </c>
    </row>
    <row r="17" spans="1:3" x14ac:dyDescent="0.2">
      <c r="A17" t="s">
        <v>30</v>
      </c>
      <c r="B17">
        <v>86</v>
      </c>
      <c r="C17" t="e">
        <f>VLOOKUP(B17,'Charte de notes'!A17:C26,3,FALSE)</f>
        <v>#N/A</v>
      </c>
    </row>
    <row r="18" spans="1:3" x14ac:dyDescent="0.2">
      <c r="A18" s="1" t="s">
        <v>31</v>
      </c>
      <c r="B18">
        <v>50</v>
      </c>
      <c r="C18" t="e">
        <f>VLOOKUP(B18,'Charte de notes'!A18:C27,3,FALSE)</f>
        <v>#N/A</v>
      </c>
    </row>
    <row r="19" spans="1:3" x14ac:dyDescent="0.2">
      <c r="A19" t="s">
        <v>32</v>
      </c>
      <c r="B19">
        <v>88</v>
      </c>
      <c r="C19" t="e">
        <f>VLOOKUP(B19,'Charte de notes'!A19:C28,3,FALSE)</f>
        <v>#N/A</v>
      </c>
    </row>
    <row r="20" spans="1:3" x14ac:dyDescent="0.2">
      <c r="A20" s="1" t="s">
        <v>33</v>
      </c>
      <c r="B20">
        <v>56</v>
      </c>
      <c r="C20" t="e">
        <f>VLOOKUP(B20,'Charte de notes'!A20:C29,3,FALSE)</f>
        <v>#N/A</v>
      </c>
    </row>
    <row r="21" spans="1:3" x14ac:dyDescent="0.2">
      <c r="A21" t="s">
        <v>34</v>
      </c>
      <c r="B21">
        <v>41</v>
      </c>
      <c r="C21" t="e">
        <f>VLOOKUP(B21,'Charte de notes'!A21:C30,3,FALSE)</f>
        <v>#N/A</v>
      </c>
    </row>
    <row r="22" spans="1:3" x14ac:dyDescent="0.2">
      <c r="A22" s="1" t="s">
        <v>35</v>
      </c>
      <c r="B22">
        <v>61</v>
      </c>
      <c r="C22" t="e">
        <f>VLOOKUP(B22,'Charte de notes'!A22:C31,3,FALSE)</f>
        <v>#N/A</v>
      </c>
    </row>
    <row r="23" spans="1:3" x14ac:dyDescent="0.2">
      <c r="A23" t="s">
        <v>36</v>
      </c>
      <c r="B23">
        <v>54</v>
      </c>
      <c r="C23" t="e">
        <f>VLOOKUP(B23,'Charte de notes'!A23:C32,3,FALSE)</f>
        <v>#N/A</v>
      </c>
    </row>
    <row r="24" spans="1:3" x14ac:dyDescent="0.2">
      <c r="A24" s="1" t="s">
        <v>37</v>
      </c>
      <c r="B24">
        <v>31</v>
      </c>
      <c r="C24" t="e">
        <f>VLOOKUP(B24,'Charte de notes'!A24:C33,3,FALSE)</f>
        <v>#N/A</v>
      </c>
    </row>
    <row r="25" spans="1:3" x14ac:dyDescent="0.2">
      <c r="A25" t="s">
        <v>38</v>
      </c>
      <c r="B25">
        <v>98</v>
      </c>
      <c r="C25" t="e">
        <f>VLOOKUP(B25,'Charte de notes'!A25:C34,3,FALSE)</f>
        <v>#N/A</v>
      </c>
    </row>
    <row r="26" spans="1:3" ht="17" thickBot="1" x14ac:dyDescent="0.25">
      <c r="A26" s="2" t="s">
        <v>39</v>
      </c>
      <c r="B26">
        <v>95</v>
      </c>
      <c r="C26" t="e">
        <f>VLOOKUP(B26,'Charte de notes'!A26:C35,3,FALSE)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Charte de notes</vt:lpstr>
      <vt:lpstr>Notes des élèves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2022-02-24T13:43:01Z</dcterms:created>
  <dcterms:modified xsi:type="dcterms:W3CDTF">2022-02-24T14:07:29Z</dcterms:modified>
</cp:coreProperties>
</file>